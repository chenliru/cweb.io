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nmon\"/>
    </mc:Choice>
  </mc:AlternateContent>
  <bookViews>
    <workbookView xWindow="0" yWindow="0" windowWidth="21360" windowHeight="9600"/>
  </bookViews>
  <sheets>
    <sheet name="Analyser" sheetId="1" r:id="rId1"/>
    <sheet name="Settings" sheetId="2" r:id="rId2"/>
    <sheet name="Release Notes" sheetId="3" r:id="rId3"/>
  </sheets>
  <functionGroups builtInGroupCount="18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Analyser!$B$21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HOWLINUXCPUUTIL">Analyser!$B$20</definedName>
    <definedName name="SHOWMACPROGRESS">Analyser!$B$19</definedName>
    <definedName name="SORTDEFAULT">Settings!$B$14</definedName>
    <definedName name="SortInp">Settings!$B$29</definedName>
    <definedName name="SUBDIR">Settings!$D$24</definedName>
    <definedName name="SYNCAXIS">Analyser!$B$18</definedName>
    <definedName name="TOPDISKS">Settings!$B$12</definedName>
    <definedName name="WEBDIR">Settings!$B$25</definedName>
    <definedName name="xToD">Settings!$B$13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2" l="1"/>
  <c r="B58" i="1"/>
  <c r="B59" i="1"/>
  <c r="B60" i="1"/>
</calcChain>
</file>

<file path=xl/sharedStrings.xml><?xml version="1.0" encoding="utf-8"?>
<sst xmlns="http://schemas.openxmlformats.org/spreadsheetml/2006/main" count="250" uniqueCount="192">
  <si>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</si>
  <si>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</si>
  <si>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</si>
  <si>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</si>
  <si>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</si>
  <si>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</si>
  <si>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</si>
  <si>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</si>
  <si>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</si>
  <si>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</si>
  <si>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</si>
  <si>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</si>
  <si>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</si>
  <si>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</si>
  <si>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</si>
  <si>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</si>
  <si>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</si>
  <si>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</si>
  <si>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</si>
  <si>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</si>
  <si>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</si>
  <si>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</si>
  <si>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</si>
  <si>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</si>
  <si>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</si>
  <si>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</si>
  <si>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</si>
  <si>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</si>
  <si>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</si>
  <si>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</si>
  <si>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</si>
  <si>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</si>
  <si>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</si>
  <si>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</si>
  <si>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</si>
  <si>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</si>
  <si>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</si>
  <si>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</si>
  <si>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</si>
  <si>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</si>
  <si>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</si>
  <si>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</si>
  <si>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</si>
  <si>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</si>
  <si>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</si>
  <si>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</si>
  <si>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</si>
  <si>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</si>
  <si>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</si>
  <si>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</si>
  <si>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</si>
  <si>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</si>
  <si>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</si>
  <si>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</si>
  <si>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</si>
  <si>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</si>
  <si>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</si>
  <si>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</si>
  <si>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</si>
  <si>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</si>
  <si>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</si>
  <si>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</si>
  <si>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</si>
  <si>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</si>
  <si>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</si>
  <si>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</si>
  <si>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</si>
  <si>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</si>
  <si>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</si>
  <si>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</si>
  <si>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</si>
  <si>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</si>
  <si>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</si>
  <si>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</si>
  <si>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</si>
  <si>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</si>
  <si>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</si>
  <si>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</si>
  <si>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</si>
  <si>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</si>
  <si>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</si>
  <si>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</si>
  <si>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</si>
  <si>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</si>
  <si>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</si>
  <si>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</si>
  <si>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</si>
  <si>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</si>
  <si>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</si>
  <si>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</si>
  <si>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</si>
  <si>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</si>
  <si>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</si>
  <si>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</si>
  <si>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</si>
  <si>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</si>
  <si>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</si>
  <si>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</si>
  <si>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</si>
  <si>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</si>
  <si>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</si>
  <si>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</si>
  <si>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</si>
  <si>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</si>
  <si>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</si>
  <si>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</si>
  <si>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</si>
  <si>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</si>
  <si>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</si>
  <si>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</si>
  <si>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</si>
  <si>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</si>
  <si>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</si>
  <si>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</si>
  <si>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</si>
  <si>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</si>
  <si>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</si>
  <si>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</si>
  <si>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</si>
  <si>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</si>
  <si>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</si>
  <si>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</si>
  <si>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</si>
  <si>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</si>
  <si>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</si>
  <si>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</si>
  <si>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</si>
  <si>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</si>
  <si>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</si>
  <si>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</si>
  <si>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</si>
  <si>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</si>
  <si>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</si>
  <si>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</si>
  <si>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</si>
  <si>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</si>
  <si>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</si>
  <si>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</si>
  <si>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</si>
  <si>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</si>
  <si>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</si>
  <si>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</si>
  <si>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</si>
  <si>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</si>
  <si>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</si>
  <si>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</si>
  <si>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</si>
  <si>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</si>
  <si>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</si>
  <si>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</si>
  <si>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</si>
  <si>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</si>
  <si>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</si>
  <si>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</si>
  <si>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</si>
  <si>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</si>
  <si>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</si>
  <si>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</si>
  <si>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</si>
  <si>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</si>
  <si>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</si>
  <si>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</si>
  <si>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</si>
  <si>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</si>
  <si>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</si>
  <si>
    <t xml:space="preserve">4. </t>
  </si>
  <si>
    <t>In ProcessFile() added a check for EOF before doing the import to possibly avoid an error.</t>
  </si>
  <si>
    <t>Enabling PIVOT charts would crash the analyzer on Excel 2010 and higher and has been fixed.   (Analyser - PIVOT = YES)</t>
  </si>
  <si>
    <t>SYNCAXIS</t>
  </si>
  <si>
    <t>On graphs that show Avg/Wavg on Y1 and Min/Max on Y2 the Maximum scales will be set to the same value</t>
  </si>
  <si>
    <t>Graphs that show Avg/Wavg/Max will now show Avg/Wavg on the Y1 axis and Min/Max as lines on the Y2 axis.  Also if the Analyzer Output option SyncAxis is YES then the Y1 and Y2 maximum scale values will be the same.</t>
  </si>
  <si>
    <t xml:space="preserve">6. </t>
  </si>
  <si>
    <t xml:space="preserve">Several graphs were not sorted previously based on the Analyser's Settings - SORTDEFAULT value but are now. </t>
  </si>
  <si>
    <t>On the Analyser's Settings - DELIM value the user can now specify any value desired.</t>
  </si>
  <si>
    <t>Added On Error Resume Next in a few spots in order to be better able to analyze huge data sets without failing prematurely.</t>
  </si>
  <si>
    <t>On the AAA sheet renamed the "elapsed" value given to "Analysis time" (the elapsed time it took Excel to analyze the nmon file)</t>
  </si>
  <si>
    <t>SHOWMACPROGRESS</t>
  </si>
  <si>
    <t>On a MAC refreshing the screen to show progress in status bar will make things 3 to 5 times slower!</t>
  </si>
  <si>
    <t>Added support to run nmon Analyzer on a Mac with Excel 2011 or higher.  Please note the following limitations:  Pivot charts don't work, Merge option doesn't work.</t>
  </si>
  <si>
    <t>SHOWLINUXCPUUTIL</t>
  </si>
  <si>
    <t>When analyzing Linux data a value of YES indicates that all of the CPUUTILnnn sheets will be included.  CPUUTIL_ALL will always be included.</t>
  </si>
  <si>
    <t>Added new options SHOWMACPROGRESS and SHOWLINUXCPUUTIL</t>
  </si>
  <si>
    <t>V5.01</t>
  </si>
  <si>
    <t>V5.02</t>
  </si>
  <si>
    <t>Fixed a problem when trying to import very large .nmon files it may fail.</t>
  </si>
  <si>
    <t>Added extra checking for garbage lines that could stop the analyzer from completing the import.</t>
  </si>
  <si>
    <t>V5.03</t>
  </si>
  <si>
    <t>If importing multiple .nmon files that contain multiple "AAA,x86," records popup errors would be shown to the user.</t>
  </si>
  <si>
    <t>V5.04</t>
  </si>
  <si>
    <t>The default save format used on a Mac may not have been set correctly in some cases.</t>
  </si>
  <si>
    <t>V5.05</t>
  </si>
  <si>
    <t>The Avg and Max CPU% on the SYS_SUMM column was being calculated incorrectly.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</si>
</sst>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0" fillId="0" borderId="0" xfId="0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0-4829-8D9D-321FB8AC15E5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0-4829-8D9D-321FB8AC15E5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B0-4829-8D9D-321FB8AC1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555064"/>
        <c:axId val="-2114551656"/>
      </c:barChart>
      <c:catAx>
        <c:axId val="-2114555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5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551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550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F8-477A-B898-CE479FD655F9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F8-477A-B898-CE479FD655F9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F8-477A-B898-CE479FD65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509096"/>
        <c:axId val="-2114505688"/>
      </c:barChart>
      <c:catAx>
        <c:axId val="-2114509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0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505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509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603E-2"/>
          <c:y val="0.16923633119703901"/>
          <c:w val="0.88530119032142895"/>
          <c:h val="0.705151379987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Analyser!$A$58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9-492B-A6EF-229A20DB997B}"/>
            </c:ext>
          </c:extLst>
        </c:ser>
        <c:ser>
          <c:idx val="1"/>
          <c:order val="1"/>
          <c:tx>
            <c:strRef>
              <c:f>Analyser!$A$59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9-492B-A6EF-229A20DB997B}"/>
            </c:ext>
          </c:extLst>
        </c:ser>
        <c:ser>
          <c:idx val="2"/>
          <c:order val="2"/>
          <c:tx>
            <c:strRef>
              <c:f>Analyser!$A$60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Analyser!$B$60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9-492B-A6EF-229A20DB9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463752"/>
        <c:axId val="-2114460344"/>
      </c:barChart>
      <c:catAx>
        <c:axId val="-211446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60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4603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63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  <c:extLst>
            <c:ext xmlns:c16="http://schemas.microsoft.com/office/drawing/2014/chart" uri="{C3380CC4-5D6E-409C-BE32-E72D297353CC}">
              <c16:uniqueId val="{00000000-F65A-4756-9CA4-B1E0F877D194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  <c:extLst>
            <c:ext xmlns:c16="http://schemas.microsoft.com/office/drawing/2014/chart" uri="{C3380CC4-5D6E-409C-BE32-E72D297353CC}">
              <c16:uniqueId val="{00000001-F65A-4756-9CA4-B1E0F877D194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  <c:extLst>
            <c:ext xmlns:c16="http://schemas.microsoft.com/office/drawing/2014/chart" uri="{C3380CC4-5D6E-409C-BE32-E72D297353CC}">
              <c16:uniqueId val="{00000002-F65A-4756-9CA4-B1E0F877D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419864"/>
        <c:axId val="-2114416456"/>
      </c:barChart>
      <c:catAx>
        <c:axId val="-2114419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1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416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4198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501"/>
          <c:y val="3.33333333333332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6E-2"/>
          <c:y val="0.16667214436071401"/>
          <c:w val="0.88358880890881497"/>
          <c:h val="0.70771556682395498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  <c:extLst>
            <c:ext xmlns:c16="http://schemas.microsoft.com/office/drawing/2014/chart" uri="{C3380CC4-5D6E-409C-BE32-E72D297353CC}">
              <c16:uniqueId val="{00000000-59F9-43FC-9CE0-7C452B04F84B}"/>
            </c:ext>
          </c:extLst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  <c:extLst>
            <c:ext xmlns:c16="http://schemas.microsoft.com/office/drawing/2014/chart" uri="{C3380CC4-5D6E-409C-BE32-E72D297353CC}">
              <c16:uniqueId val="{00000001-59F9-43FC-9CE0-7C452B04F84B}"/>
            </c:ext>
          </c:extLst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21.176088412592339</c:v>
              </c:pt>
            </c:numLit>
          </c:val>
          <c:extLst>
            <c:ext xmlns:c16="http://schemas.microsoft.com/office/drawing/2014/chart" uri="{C3380CC4-5D6E-409C-BE32-E72D297353CC}">
              <c16:uniqueId val="{00000002-59F9-43FC-9CE0-7C452B04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4376520"/>
        <c:axId val="-2114373112"/>
      </c:barChart>
      <c:catAx>
        <c:axId val="-211437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37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2114373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21143765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"/>
          <c:y val="0.43847594901050002"/>
          <c:w val="5.0515251672112502E-2"/>
          <c:h val="0.169236331197039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99" r="0.75000000000000999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80</xdr:row>
      <xdr:rowOff>9525</xdr:rowOff>
    </xdr:from>
    <xdr:to>
      <xdr:col>14</xdr:col>
      <xdr:colOff>419100</xdr:colOff>
      <xdr:row>103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0"/>
  <sheetViews>
    <sheetView tabSelected="1" workbookViewId="0">
      <selection activeCell="B27" sqref="B27"/>
    </sheetView>
  </sheetViews>
  <sheetFormatPr defaultColWidth="8.85546875" defaultRowHeight="12.75" x14ac:dyDescent="0.2"/>
  <cols>
    <col min="1" max="1" width="22.285156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3" t="s">
        <v>190</v>
      </c>
      <c r="B1" s="45">
        <v>42495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3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108</v>
      </c>
      <c r="C10" s="3" t="s">
        <v>109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6">
        <v>1</v>
      </c>
      <c r="C11" s="37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8"/>
      <c r="C12" s="35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5</v>
      </c>
      <c r="D14" t="s">
        <v>52</v>
      </c>
      <c r="I14" s="6"/>
      <c r="J14" s="6"/>
      <c r="K14" s="6"/>
    </row>
    <row r="15" spans="1:11" x14ac:dyDescent="0.2">
      <c r="A15" s="2" t="s">
        <v>99</v>
      </c>
      <c r="B15" s="40" t="s">
        <v>5</v>
      </c>
      <c r="D15" s="16" t="s">
        <v>100</v>
      </c>
      <c r="H15" s="6"/>
      <c r="I15" s="6"/>
      <c r="J15" s="6"/>
      <c r="K15" s="6"/>
    </row>
    <row r="16" spans="1:11" x14ac:dyDescent="0.2">
      <c r="A16" s="16" t="s">
        <v>128</v>
      </c>
      <c r="B16" s="14" t="s">
        <v>5</v>
      </c>
      <c r="D16" s="16" t="s">
        <v>134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s="16" t="s">
        <v>168</v>
      </c>
      <c r="B18" s="14" t="s">
        <v>5</v>
      </c>
      <c r="C18" s="14"/>
      <c r="D18" s="16" t="s">
        <v>169</v>
      </c>
      <c r="H18" s="6"/>
      <c r="I18" s="6"/>
      <c r="J18" s="6"/>
      <c r="K18" s="6"/>
    </row>
    <row r="19" spans="1:15" x14ac:dyDescent="0.2">
      <c r="A19" s="46" t="s">
        <v>176</v>
      </c>
      <c r="B19" s="14" t="s">
        <v>7</v>
      </c>
      <c r="C19" s="14"/>
      <c r="D19" s="16" t="s">
        <v>177</v>
      </c>
      <c r="H19" s="6"/>
      <c r="I19" s="6"/>
      <c r="J19" s="6"/>
      <c r="K19" s="6"/>
    </row>
    <row r="20" spans="1:15" x14ac:dyDescent="0.2">
      <c r="A20" s="16" t="s">
        <v>179</v>
      </c>
      <c r="B20" s="14" t="s">
        <v>7</v>
      </c>
      <c r="C20" s="14"/>
      <c r="D20" s="16" t="s">
        <v>180</v>
      </c>
      <c r="H20" s="6"/>
      <c r="I20" s="6"/>
      <c r="J20" s="6"/>
      <c r="K20" s="6"/>
    </row>
    <row r="21" spans="1:15" x14ac:dyDescent="0.2">
      <c r="A21" t="s">
        <v>9</v>
      </c>
      <c r="B21" s="30"/>
      <c r="D21" t="s">
        <v>10</v>
      </c>
      <c r="H21" s="6"/>
      <c r="I21" s="6"/>
      <c r="J21" s="6"/>
      <c r="K21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  <c r="O23" s="22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  <c r="O24" s="22"/>
    </row>
    <row r="25" spans="1:15" x14ac:dyDescent="0.2">
      <c r="B25" s="29"/>
      <c r="C25" s="6"/>
      <c r="D25" s="6"/>
      <c r="E25" s="6"/>
      <c r="F25" s="6"/>
      <c r="G25" s="6"/>
      <c r="H25" s="6"/>
      <c r="I25" s="6"/>
      <c r="J25" s="6"/>
      <c r="K25" s="6"/>
    </row>
    <row r="26" spans="1:15" x14ac:dyDescent="0.2">
      <c r="B26" s="29"/>
      <c r="C26" s="6"/>
      <c r="D26" s="6"/>
      <c r="E26" s="6"/>
      <c r="F26" s="6"/>
      <c r="G26" s="6"/>
      <c r="H26" s="6"/>
      <c r="I26" s="6"/>
      <c r="J26" s="6"/>
      <c r="K26" s="6"/>
    </row>
    <row r="27" spans="1:15" x14ac:dyDescent="0.2">
      <c r="B27" s="29"/>
      <c r="C27" s="6"/>
      <c r="D27" s="6"/>
      <c r="E27" s="6"/>
      <c r="F27" s="6"/>
      <c r="G27" s="6"/>
      <c r="H27" s="6"/>
      <c r="I27" s="6"/>
      <c r="J27" s="6"/>
      <c r="K27" s="6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B55" s="28"/>
    </row>
    <row r="56" spans="1:2" x14ac:dyDescent="0.2">
      <c r="B56" s="28"/>
    </row>
    <row r="57" spans="1:2" x14ac:dyDescent="0.2">
      <c r="B57" s="28"/>
    </row>
    <row r="58" spans="1:2" x14ac:dyDescent="0.2">
      <c r="A58" t="s">
        <v>74</v>
      </c>
      <c r="B58" s="28">
        <f>AVERAGE(B2:B56)</f>
        <v>1</v>
      </c>
    </row>
    <row r="59" spans="1:2" x14ac:dyDescent="0.2">
      <c r="A59" t="s">
        <v>75</v>
      </c>
      <c r="B59" s="28">
        <f>IF(B58=0,0,MAX(SUMPRODUCT(B2:B56,B2:B56)/SUM(B2:B56)-B58,0))</f>
        <v>0</v>
      </c>
    </row>
    <row r="60" spans="1:2" x14ac:dyDescent="0.2">
      <c r="A60" t="s">
        <v>76</v>
      </c>
      <c r="B60" s="28">
        <f>ABS(MAX(B2:B56)-B58-B59)</f>
        <v>0</v>
      </c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  <row r="408" spans="2:2" x14ac:dyDescent="0.2">
      <c r="B408" s="28"/>
    </row>
    <row r="409" spans="2:2" x14ac:dyDescent="0.2">
      <c r="B409" s="28"/>
    </row>
    <row r="410" spans="2:2" x14ac:dyDescent="0.2">
      <c r="B410" s="28"/>
    </row>
  </sheetData>
  <sortState columnSort="1" ref="B1:D22">
    <sortCondition descending="1" ref="B22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20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0" sqref="B10"/>
    </sheetView>
  </sheetViews>
  <sheetFormatPr defaultColWidth="9.7109375" defaultRowHeight="12.75" x14ac:dyDescent="0.2"/>
  <cols>
    <col min="1" max="1" width="15.140625" customWidth="1"/>
    <col min="2" max="2" width="91.42578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1" t="s">
        <v>105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2" t="s">
        <v>110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149</v>
      </c>
      <c r="B14" s="20" t="s">
        <v>5</v>
      </c>
      <c r="C14" s="16" t="s">
        <v>150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4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1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2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5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</dataValidations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9"/>
  <sheetViews>
    <sheetView workbookViewId="0">
      <selection activeCell="F43" sqref="F43"/>
    </sheetView>
  </sheetViews>
  <sheetFormatPr defaultColWidth="8.85546875" defaultRowHeight="12.75" x14ac:dyDescent="0.2"/>
  <cols>
    <col min="1" max="1" width="12.7109375" style="23" customWidth="1"/>
    <col min="2" max="2" width="9.42578125" customWidth="1"/>
  </cols>
  <sheetData>
    <row r="1" spans="1:5" x14ac:dyDescent="0.2">
      <c r="A1" s="25" t="s">
        <v>190</v>
      </c>
      <c r="B1" s="7">
        <v>42495</v>
      </c>
      <c r="E1" t="s">
        <v>96</v>
      </c>
    </row>
    <row r="2" spans="1:5" x14ac:dyDescent="0.2">
      <c r="A2" s="25"/>
      <c r="B2" s="7"/>
    </row>
    <row r="3" spans="1:5" x14ac:dyDescent="0.2">
      <c r="A3" s="25" t="s">
        <v>190</v>
      </c>
      <c r="B3" s="7">
        <v>42495</v>
      </c>
    </row>
    <row r="4" spans="1:5" x14ac:dyDescent="0.2">
      <c r="A4" s="25" t="s">
        <v>46</v>
      </c>
      <c r="B4" s="45" t="s">
        <v>191</v>
      </c>
    </row>
    <row r="5" spans="1:5" x14ac:dyDescent="0.2">
      <c r="A5" s="25"/>
      <c r="B5" s="7"/>
    </row>
    <row r="6" spans="1:5" x14ac:dyDescent="0.2">
      <c r="A6" s="25" t="s">
        <v>188</v>
      </c>
      <c r="B6" s="7">
        <v>42467</v>
      </c>
    </row>
    <row r="7" spans="1:5" x14ac:dyDescent="0.2">
      <c r="A7" s="25" t="s">
        <v>46</v>
      </c>
      <c r="B7" s="45" t="s">
        <v>189</v>
      </c>
    </row>
    <row r="8" spans="1:5" x14ac:dyDescent="0.2">
      <c r="A8" s="25"/>
      <c r="B8" s="7"/>
    </row>
    <row r="9" spans="1:5" x14ac:dyDescent="0.2">
      <c r="A9" s="25" t="s">
        <v>186</v>
      </c>
      <c r="B9" s="7">
        <v>42444</v>
      </c>
    </row>
    <row r="10" spans="1:5" x14ac:dyDescent="0.2">
      <c r="A10" s="25" t="s">
        <v>46</v>
      </c>
      <c r="B10" s="16" t="s">
        <v>187</v>
      </c>
    </row>
    <row r="11" spans="1:5" x14ac:dyDescent="0.2">
      <c r="A11" s="25"/>
      <c r="B11" s="16"/>
    </row>
    <row r="12" spans="1:5" s="1" customFormat="1" ht="13.5" customHeight="1" x14ac:dyDescent="0.2">
      <c r="A12" s="25" t="s">
        <v>183</v>
      </c>
      <c r="B12" s="7">
        <v>42426</v>
      </c>
    </row>
    <row r="13" spans="1:5" s="1" customFormat="1" x14ac:dyDescent="0.2">
      <c r="A13" s="25" t="s">
        <v>46</v>
      </c>
      <c r="B13" s="16" t="s">
        <v>184</v>
      </c>
    </row>
    <row r="14" spans="1:5" s="1" customFormat="1" x14ac:dyDescent="0.2">
      <c r="A14" s="25" t="s">
        <v>47</v>
      </c>
      <c r="B14" s="16" t="s">
        <v>185</v>
      </c>
    </row>
    <row r="15" spans="1:5" s="1" customFormat="1" x14ac:dyDescent="0.2">
      <c r="A15" s="25"/>
      <c r="B15" s="16"/>
    </row>
    <row r="16" spans="1:5" s="1" customFormat="1" ht="13.5" customHeight="1" x14ac:dyDescent="0.2">
      <c r="A16" s="25" t="s">
        <v>182</v>
      </c>
      <c r="B16" s="7">
        <v>42423</v>
      </c>
    </row>
    <row r="17" spans="1:2" s="1" customFormat="1" x14ac:dyDescent="0.2">
      <c r="A17" s="25" t="s">
        <v>46</v>
      </c>
      <c r="B17" s="16" t="s">
        <v>175</v>
      </c>
    </row>
    <row r="18" spans="1:2" s="1" customFormat="1" x14ac:dyDescent="0.2">
      <c r="A18" s="25" t="s">
        <v>47</v>
      </c>
      <c r="B18" s="16" t="s">
        <v>167</v>
      </c>
    </row>
    <row r="19" spans="1:2" s="1" customFormat="1" x14ac:dyDescent="0.2">
      <c r="A19" s="25" t="s">
        <v>48</v>
      </c>
      <c r="B19" s="16" t="s">
        <v>173</v>
      </c>
    </row>
    <row r="20" spans="1:2" s="1" customFormat="1" x14ac:dyDescent="0.2">
      <c r="A20" s="25" t="s">
        <v>165</v>
      </c>
      <c r="B20" s="16" t="s">
        <v>166</v>
      </c>
    </row>
    <row r="21" spans="1:2" s="1" customFormat="1" x14ac:dyDescent="0.2">
      <c r="A21" s="25" t="s">
        <v>114</v>
      </c>
      <c r="B21" s="16" t="s">
        <v>170</v>
      </c>
    </row>
    <row r="22" spans="1:2" s="1" customFormat="1" x14ac:dyDescent="0.2">
      <c r="A22" s="25" t="s">
        <v>171</v>
      </c>
      <c r="B22" s="16" t="s">
        <v>172</v>
      </c>
    </row>
    <row r="23" spans="1:2" s="1" customFormat="1" x14ac:dyDescent="0.2">
      <c r="A23" s="25" t="s">
        <v>87</v>
      </c>
      <c r="B23" s="16" t="s">
        <v>174</v>
      </c>
    </row>
    <row r="24" spans="1:2" s="1" customFormat="1" x14ac:dyDescent="0.2">
      <c r="A24" s="25" t="s">
        <v>89</v>
      </c>
      <c r="B24" s="16" t="s">
        <v>178</v>
      </c>
    </row>
    <row r="25" spans="1:2" s="1" customFormat="1" x14ac:dyDescent="0.2">
      <c r="A25" s="25" t="s">
        <v>94</v>
      </c>
      <c r="B25" s="16" t="s">
        <v>181</v>
      </c>
    </row>
    <row r="26" spans="1:2" s="1" customFormat="1" x14ac:dyDescent="0.2">
      <c r="A26" s="25"/>
      <c r="B26" s="16"/>
    </row>
    <row r="27" spans="1:2" s="1" customFormat="1" ht="13.5" customHeight="1" x14ac:dyDescent="0.2">
      <c r="A27" s="25" t="s">
        <v>163</v>
      </c>
      <c r="B27" s="7">
        <v>42270</v>
      </c>
    </row>
    <row r="28" spans="1:2" s="1" customFormat="1" x14ac:dyDescent="0.2">
      <c r="A28" s="25" t="s">
        <v>46</v>
      </c>
      <c r="B28" s="16" t="s">
        <v>164</v>
      </c>
    </row>
    <row r="29" spans="1:2" s="1" customFormat="1" ht="13.5" customHeight="1" x14ac:dyDescent="0.2">
      <c r="A29" s="25"/>
    </row>
    <row r="30" spans="1:2" s="1" customFormat="1" ht="13.5" customHeight="1" x14ac:dyDescent="0.2">
      <c r="A30" s="25" t="s">
        <v>161</v>
      </c>
      <c r="B30" s="7">
        <v>42185</v>
      </c>
    </row>
    <row r="31" spans="1:2" s="1" customFormat="1" x14ac:dyDescent="0.2">
      <c r="A31" s="25" t="s">
        <v>46</v>
      </c>
      <c r="B31" s="16" t="s">
        <v>162</v>
      </c>
    </row>
    <row r="32" spans="1:2" s="1" customFormat="1" ht="13.5" customHeight="1" x14ac:dyDescent="0.2">
      <c r="A32" s="25"/>
    </row>
    <row r="33" spans="1:2" s="1" customFormat="1" ht="13.5" customHeight="1" x14ac:dyDescent="0.2">
      <c r="A33" s="25" t="s">
        <v>159</v>
      </c>
      <c r="B33" s="7">
        <v>42171</v>
      </c>
    </row>
    <row r="34" spans="1:2" s="1" customFormat="1" x14ac:dyDescent="0.2">
      <c r="A34" s="25" t="s">
        <v>46</v>
      </c>
      <c r="B34" s="16" t="s">
        <v>160</v>
      </c>
    </row>
    <row r="35" spans="1:2" s="1" customFormat="1" ht="13.5" customHeight="1" x14ac:dyDescent="0.2">
      <c r="A35" s="25"/>
    </row>
    <row r="36" spans="1:2" s="1" customFormat="1" ht="13.5" customHeight="1" x14ac:dyDescent="0.2">
      <c r="A36" s="25" t="s">
        <v>157</v>
      </c>
      <c r="B36" s="7">
        <v>42159</v>
      </c>
    </row>
    <row r="37" spans="1:2" s="1" customFormat="1" x14ac:dyDescent="0.2">
      <c r="A37" s="25" t="s">
        <v>46</v>
      </c>
      <c r="B37" s="16" t="s">
        <v>158</v>
      </c>
    </row>
    <row r="38" spans="1:2" s="1" customFormat="1" ht="13.5" customHeight="1" x14ac:dyDescent="0.2">
      <c r="A38" s="25"/>
    </row>
    <row r="39" spans="1:2" s="1" customFormat="1" x14ac:dyDescent="0.2">
      <c r="A39" s="25" t="s">
        <v>155</v>
      </c>
      <c r="B39" s="7">
        <v>42143</v>
      </c>
    </row>
    <row r="40" spans="1:2" s="1" customFormat="1" x14ac:dyDescent="0.2">
      <c r="A40" s="25" t="s">
        <v>46</v>
      </c>
      <c r="B40" s="16" t="s">
        <v>156</v>
      </c>
    </row>
    <row r="41" spans="1:2" s="1" customFormat="1" x14ac:dyDescent="0.2">
      <c r="A41" s="25"/>
      <c r="B41" s="16"/>
    </row>
    <row r="42" spans="1:2" s="1" customFormat="1" x14ac:dyDescent="0.2">
      <c r="A42" s="25" t="s">
        <v>153</v>
      </c>
      <c r="B42" s="7">
        <v>42125</v>
      </c>
    </row>
    <row r="43" spans="1:2" s="1" customFormat="1" x14ac:dyDescent="0.2">
      <c r="A43" s="25" t="s">
        <v>46</v>
      </c>
      <c r="B43" s="16" t="s">
        <v>154</v>
      </c>
    </row>
    <row r="44" spans="1:2" s="1" customFormat="1" x14ac:dyDescent="0.2">
      <c r="A44" s="25"/>
    </row>
    <row r="45" spans="1:2" s="1" customFormat="1" x14ac:dyDescent="0.2">
      <c r="A45" s="25" t="s">
        <v>148</v>
      </c>
      <c r="B45" s="7">
        <v>42121</v>
      </c>
    </row>
    <row r="46" spans="1:2" s="1" customFormat="1" x14ac:dyDescent="0.2">
      <c r="A46" s="25" t="s">
        <v>46</v>
      </c>
      <c r="B46" s="16" t="s">
        <v>151</v>
      </c>
    </row>
    <row r="47" spans="1:2" s="1" customFormat="1" x14ac:dyDescent="0.2">
      <c r="A47" s="25" t="s">
        <v>47</v>
      </c>
      <c r="B47" s="45" t="s">
        <v>152</v>
      </c>
    </row>
    <row r="48" spans="1:2" s="1" customFormat="1" x14ac:dyDescent="0.2">
      <c r="A48" s="25"/>
      <c r="B48" s="45"/>
    </row>
    <row r="49" spans="1:2" s="1" customFormat="1" x14ac:dyDescent="0.2">
      <c r="A49" s="25" t="s">
        <v>146</v>
      </c>
      <c r="B49" s="7">
        <v>42080</v>
      </c>
    </row>
    <row r="50" spans="1:2" s="1" customFormat="1" x14ac:dyDescent="0.2">
      <c r="A50" s="25" t="s">
        <v>46</v>
      </c>
      <c r="B50" s="45" t="s">
        <v>147</v>
      </c>
    </row>
    <row r="51" spans="1:2" s="1" customFormat="1" x14ac:dyDescent="0.2">
      <c r="A51" s="25"/>
      <c r="B51" s="45"/>
    </row>
    <row r="52" spans="1:2" s="1" customFormat="1" x14ac:dyDescent="0.2">
      <c r="A52" s="25" t="s">
        <v>144</v>
      </c>
      <c r="B52" s="7">
        <v>42074</v>
      </c>
    </row>
    <row r="53" spans="1:2" s="1" customFormat="1" x14ac:dyDescent="0.2">
      <c r="A53" s="25" t="s">
        <v>46</v>
      </c>
      <c r="B53" s="45" t="s">
        <v>145</v>
      </c>
    </row>
    <row r="54" spans="1:2" s="1" customFormat="1" x14ac:dyDescent="0.2">
      <c r="A54" s="25"/>
      <c r="B54" s="45"/>
    </row>
    <row r="55" spans="1:2" s="1" customFormat="1" x14ac:dyDescent="0.2">
      <c r="A55" s="25" t="s">
        <v>140</v>
      </c>
      <c r="B55" s="7">
        <v>42053</v>
      </c>
    </row>
    <row r="56" spans="1:2" s="1" customFormat="1" x14ac:dyDescent="0.2">
      <c r="A56" s="25" t="s">
        <v>46</v>
      </c>
      <c r="B56" s="45" t="s">
        <v>143</v>
      </c>
    </row>
    <row r="57" spans="1:2" s="1" customFormat="1" x14ac:dyDescent="0.2">
      <c r="A57" s="25" t="s">
        <v>47</v>
      </c>
      <c r="B57" s="45" t="s">
        <v>141</v>
      </c>
    </row>
    <row r="58" spans="1:2" s="1" customFormat="1" x14ac:dyDescent="0.2">
      <c r="A58" s="25" t="s">
        <v>48</v>
      </c>
      <c r="B58" s="45" t="s">
        <v>142</v>
      </c>
    </row>
    <row r="59" spans="1:2" s="1" customFormat="1" x14ac:dyDescent="0.2">
      <c r="A59" s="25"/>
      <c r="B59" s="45"/>
    </row>
    <row r="60" spans="1:2" s="1" customFormat="1" x14ac:dyDescent="0.2">
      <c r="A60" s="25" t="s">
        <v>125</v>
      </c>
      <c r="B60" s="7">
        <v>42052</v>
      </c>
    </row>
    <row r="61" spans="1:2" s="1" customFormat="1" x14ac:dyDescent="0.2">
      <c r="A61" s="25" t="s">
        <v>46</v>
      </c>
      <c r="B61" s="16" t="s">
        <v>126</v>
      </c>
    </row>
    <row r="62" spans="1:2" s="1" customFormat="1" x14ac:dyDescent="0.2">
      <c r="A62" s="25" t="s">
        <v>127</v>
      </c>
      <c r="B62" s="16" t="s">
        <v>133</v>
      </c>
    </row>
    <row r="63" spans="1:2" s="1" customFormat="1" x14ac:dyDescent="0.2">
      <c r="A63" s="25" t="s">
        <v>130</v>
      </c>
      <c r="B63" s="16" t="s">
        <v>129</v>
      </c>
    </row>
    <row r="64" spans="1:2" s="1" customFormat="1" x14ac:dyDescent="0.2">
      <c r="A64" s="25" t="s">
        <v>49</v>
      </c>
      <c r="B64" s="16" t="s">
        <v>131</v>
      </c>
    </row>
    <row r="65" spans="1:7" s="1" customFormat="1" x14ac:dyDescent="0.2">
      <c r="A65" s="25" t="s">
        <v>77</v>
      </c>
      <c r="B65" s="16" t="s">
        <v>132</v>
      </c>
    </row>
    <row r="66" spans="1:7" s="1" customFormat="1" x14ac:dyDescent="0.2">
      <c r="A66" s="25" t="s">
        <v>116</v>
      </c>
      <c r="B66" s="16" t="s">
        <v>135</v>
      </c>
    </row>
    <row r="67" spans="1:7" s="1" customFormat="1" x14ac:dyDescent="0.2">
      <c r="A67" s="25" t="s">
        <v>87</v>
      </c>
      <c r="B67" s="16" t="s">
        <v>137</v>
      </c>
    </row>
    <row r="68" spans="1:7" s="1" customFormat="1" x14ac:dyDescent="0.2">
      <c r="A68" s="25" t="s">
        <v>89</v>
      </c>
      <c r="B68" s="16" t="s">
        <v>138</v>
      </c>
    </row>
    <row r="69" spans="1:7" s="1" customFormat="1" x14ac:dyDescent="0.2">
      <c r="A69" s="25" t="s">
        <v>94</v>
      </c>
      <c r="B69" s="16" t="s">
        <v>139</v>
      </c>
    </row>
    <row r="70" spans="1:7" s="1" customFormat="1" x14ac:dyDescent="0.2">
      <c r="A70" s="25"/>
      <c r="B70" s="16"/>
    </row>
    <row r="71" spans="1:7" s="1" customFormat="1" x14ac:dyDescent="0.2">
      <c r="A71" s="25" t="s">
        <v>123</v>
      </c>
      <c r="B71" s="7">
        <v>42049</v>
      </c>
    </row>
    <row r="72" spans="1:7" s="1" customFormat="1" x14ac:dyDescent="0.2">
      <c r="A72" s="25" t="s">
        <v>46</v>
      </c>
      <c r="B72" s="16" t="s">
        <v>124</v>
      </c>
    </row>
    <row r="73" spans="1:7" s="1" customFormat="1" x14ac:dyDescent="0.2">
      <c r="A73" s="25"/>
    </row>
    <row r="74" spans="1:7" s="1" customFormat="1" x14ac:dyDescent="0.2">
      <c r="A74" s="25" t="s">
        <v>120</v>
      </c>
      <c r="B74" s="7">
        <v>42048</v>
      </c>
    </row>
    <row r="75" spans="1:7" s="1" customFormat="1" x14ac:dyDescent="0.2">
      <c r="A75" s="25" t="s">
        <v>46</v>
      </c>
      <c r="B75" s="16" t="s">
        <v>121</v>
      </c>
    </row>
    <row r="76" spans="1:7" s="1" customFormat="1" x14ac:dyDescent="0.2">
      <c r="A76" s="25" t="s">
        <v>47</v>
      </c>
      <c r="B76" s="16" t="s">
        <v>122</v>
      </c>
    </row>
    <row r="77" spans="1:7" s="1" customFormat="1" x14ac:dyDescent="0.2">
      <c r="A77" s="25"/>
    </row>
    <row r="78" spans="1:7" s="1" customFormat="1" x14ac:dyDescent="0.2">
      <c r="A78" s="25" t="s">
        <v>111</v>
      </c>
      <c r="B78" s="7">
        <v>42048</v>
      </c>
    </row>
    <row r="79" spans="1:7" x14ac:dyDescent="0.2">
      <c r="A79" s="39" t="s">
        <v>46</v>
      </c>
      <c r="B79" s="44" t="s">
        <v>112</v>
      </c>
      <c r="C79" s="2"/>
      <c r="D79" s="2"/>
      <c r="E79" s="2"/>
      <c r="F79" s="2"/>
      <c r="G79" s="2"/>
    </row>
    <row r="80" spans="1:7" x14ac:dyDescent="0.2">
      <c r="A80" s="44" t="s">
        <v>47</v>
      </c>
      <c r="B80" s="44" t="s">
        <v>136</v>
      </c>
      <c r="C80" s="2"/>
      <c r="D80" s="2"/>
      <c r="E80" s="2"/>
      <c r="F80" s="2"/>
      <c r="G80" s="2"/>
    </row>
    <row r="81" spans="1:7" x14ac:dyDescent="0.2">
      <c r="A81" s="44" t="s">
        <v>48</v>
      </c>
      <c r="B81" s="44" t="s">
        <v>115</v>
      </c>
      <c r="C81" s="2"/>
      <c r="D81" s="2"/>
      <c r="E81" s="2"/>
      <c r="F81" s="2"/>
      <c r="G81" s="2"/>
    </row>
    <row r="82" spans="1:7" x14ac:dyDescent="0.2">
      <c r="A82" s="44" t="s">
        <v>49</v>
      </c>
      <c r="B82" s="44" t="s">
        <v>119</v>
      </c>
      <c r="C82" s="2"/>
      <c r="D82" s="2"/>
      <c r="E82" s="2"/>
      <c r="F82" s="2"/>
      <c r="G82" s="2"/>
    </row>
    <row r="83" spans="1:7" x14ac:dyDescent="0.2">
      <c r="A83" s="44" t="s">
        <v>114</v>
      </c>
      <c r="B83" s="44" t="s">
        <v>113</v>
      </c>
      <c r="C83" s="2"/>
      <c r="D83" s="2"/>
      <c r="E83" s="2"/>
      <c r="F83" s="2"/>
      <c r="G83" s="2"/>
    </row>
    <row r="84" spans="1:7" x14ac:dyDescent="0.2">
      <c r="A84" s="44" t="s">
        <v>116</v>
      </c>
      <c r="B84" s="44" t="s">
        <v>117</v>
      </c>
      <c r="C84" s="2"/>
      <c r="D84" s="2"/>
      <c r="E84" s="2"/>
      <c r="F84" s="2"/>
      <c r="G84" s="2"/>
    </row>
    <row r="85" spans="1:7" x14ac:dyDescent="0.2">
      <c r="A85" s="44" t="s">
        <v>87</v>
      </c>
      <c r="B85" s="44" t="s">
        <v>118</v>
      </c>
      <c r="C85" s="2"/>
      <c r="D85" s="2"/>
      <c r="E85" s="2"/>
      <c r="F85" s="2"/>
      <c r="G85" s="2"/>
    </row>
    <row r="86" spans="1:7" x14ac:dyDescent="0.2">
      <c r="A86" s="44"/>
      <c r="B86" s="44"/>
      <c r="C86" s="2"/>
      <c r="D86" s="2"/>
      <c r="E86" s="2"/>
      <c r="F86" s="2"/>
      <c r="G86" s="2"/>
    </row>
    <row r="87" spans="1:7" s="1" customFormat="1" x14ac:dyDescent="0.2">
      <c r="A87" s="25" t="s">
        <v>104</v>
      </c>
      <c r="B87" s="7">
        <v>42046</v>
      </c>
    </row>
    <row r="88" spans="1:7" x14ac:dyDescent="0.2">
      <c r="A88" s="39" t="s">
        <v>46</v>
      </c>
      <c r="B88" s="39" t="s">
        <v>106</v>
      </c>
      <c r="C88" s="2"/>
      <c r="D88" s="2"/>
      <c r="E88" s="2"/>
      <c r="F88" s="2"/>
      <c r="G88" s="2"/>
    </row>
    <row r="89" spans="1:7" x14ac:dyDescent="0.2">
      <c r="A89" s="23" t="s">
        <v>47</v>
      </c>
      <c r="B89" s="39" t="s">
        <v>107</v>
      </c>
      <c r="C89" s="2"/>
      <c r="D89" s="2"/>
      <c r="E89" s="2"/>
      <c r="F89" s="2"/>
      <c r="G89" s="2"/>
    </row>
    <row r="90" spans="1:7" x14ac:dyDescent="0.2">
      <c r="B90" s="23"/>
      <c r="C90" s="2"/>
      <c r="D90" s="2"/>
      <c r="E90" s="2"/>
      <c r="F90" s="2"/>
      <c r="G90" s="2"/>
    </row>
    <row r="91" spans="1:7" s="1" customFormat="1" x14ac:dyDescent="0.2">
      <c r="A91" s="25" t="s">
        <v>102</v>
      </c>
      <c r="B91" s="7">
        <v>42039</v>
      </c>
    </row>
    <row r="92" spans="1:7" x14ac:dyDescent="0.2">
      <c r="A92" s="23" t="s">
        <v>46</v>
      </c>
      <c r="B92" s="39" t="s">
        <v>103</v>
      </c>
      <c r="C92" s="2"/>
      <c r="D92" s="2"/>
      <c r="E92" s="2"/>
      <c r="F92" s="2"/>
      <c r="G92" s="2"/>
    </row>
    <row r="93" spans="1:7" x14ac:dyDescent="0.2">
      <c r="B93" s="39"/>
      <c r="C93" s="2"/>
      <c r="D93" s="2"/>
      <c r="E93" s="2"/>
      <c r="F93" s="2"/>
      <c r="G93" s="2"/>
    </row>
    <row r="94" spans="1:7" s="1" customFormat="1" x14ac:dyDescent="0.2">
      <c r="A94" s="25" t="s">
        <v>98</v>
      </c>
    </row>
    <row r="95" spans="1:7" x14ac:dyDescent="0.2">
      <c r="A95" s="23" t="s">
        <v>46</v>
      </c>
      <c r="B95" s="39" t="s">
        <v>101</v>
      </c>
      <c r="C95" s="2"/>
      <c r="D95" s="2"/>
      <c r="E95" s="2"/>
      <c r="F95" s="2"/>
      <c r="G95" s="2"/>
    </row>
    <row r="96" spans="1:7" x14ac:dyDescent="0.2">
      <c r="B96" s="23"/>
      <c r="C96" s="2"/>
      <c r="D96" s="2"/>
      <c r="E96" s="2"/>
      <c r="F96" s="2"/>
      <c r="G96" s="2"/>
    </row>
    <row r="97" spans="1:7" x14ac:dyDescent="0.2">
      <c r="A97" s="25" t="s">
        <v>97</v>
      </c>
      <c r="B97" s="24"/>
      <c r="C97" s="2"/>
      <c r="D97" s="2"/>
      <c r="E97" s="2"/>
      <c r="F97" s="2"/>
      <c r="G97" s="2"/>
    </row>
    <row r="98" spans="1:7" x14ac:dyDescent="0.2">
      <c r="A98" s="23" t="s">
        <v>46</v>
      </c>
      <c r="B98" s="23" t="s">
        <v>78</v>
      </c>
      <c r="C98" s="2"/>
      <c r="D98" s="2"/>
      <c r="E98" s="2"/>
      <c r="F98" s="2"/>
      <c r="G98" s="2"/>
    </row>
    <row r="99" spans="1:7" x14ac:dyDescent="0.2">
      <c r="A99" s="23" t="s">
        <v>47</v>
      </c>
      <c r="B99" s="23" t="s">
        <v>79</v>
      </c>
      <c r="C99" s="2"/>
      <c r="D99" s="2"/>
      <c r="E99" s="2"/>
      <c r="F99" s="2"/>
      <c r="G99" s="2"/>
    </row>
    <row r="100" spans="1:7" x14ac:dyDescent="0.2">
      <c r="A100" s="23" t="s">
        <v>48</v>
      </c>
      <c r="B100" t="s">
        <v>92</v>
      </c>
      <c r="C100" s="2"/>
      <c r="D100" s="2"/>
      <c r="E100" s="2"/>
      <c r="F100" s="2"/>
      <c r="G100" s="2"/>
    </row>
    <row r="101" spans="1:7" x14ac:dyDescent="0.2">
      <c r="A101" s="23" t="s">
        <v>49</v>
      </c>
      <c r="B101" s="23" t="s">
        <v>86</v>
      </c>
    </row>
    <row r="102" spans="1:7" x14ac:dyDescent="0.2">
      <c r="A102" s="23" t="s">
        <v>77</v>
      </c>
      <c r="B102" s="23" t="s">
        <v>83</v>
      </c>
    </row>
    <row r="103" spans="1:7" x14ac:dyDescent="0.2">
      <c r="A103" s="23" t="s">
        <v>82</v>
      </c>
      <c r="B103" s="23" t="s">
        <v>81</v>
      </c>
    </row>
    <row r="104" spans="1:7" x14ac:dyDescent="0.2">
      <c r="A104" s="23" t="s">
        <v>87</v>
      </c>
      <c r="B104" s="23" t="s">
        <v>88</v>
      </c>
    </row>
    <row r="105" spans="1:7" x14ac:dyDescent="0.2">
      <c r="A105" s="23" t="s">
        <v>89</v>
      </c>
      <c r="B105" s="23" t="s">
        <v>80</v>
      </c>
    </row>
    <row r="106" spans="1:7" x14ac:dyDescent="0.2">
      <c r="A106" s="23" t="s">
        <v>94</v>
      </c>
      <c r="B106" s="23" t="s">
        <v>95</v>
      </c>
    </row>
    <row r="107" spans="1:7" x14ac:dyDescent="0.2">
      <c r="B107" s="23"/>
    </row>
    <row r="108" spans="1:7" x14ac:dyDescent="0.2">
      <c r="B108" s="23"/>
    </row>
    <row r="109" spans="1:7" x14ac:dyDescent="0.2">
      <c r="A109" s="25"/>
    </row>
  </sheetData>
  <phoneticPr fontId="0" type="noConversion"/>
  <pageMargins left="0.75" right="0.75" top="1" bottom="1" header="0.5" footer="0.5"/>
  <pageSetup paperSize="9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SHOWLINUXCPUUTIL</vt:lpstr>
      <vt:lpstr>SHOWMACPROGRESS</vt:lpstr>
      <vt:lpstr>SORTDEFAULT</vt:lpstr>
      <vt:lpstr>SortInp</vt:lpstr>
      <vt:lpstr>SUBDIR</vt:lpstr>
      <vt:lpstr>SYNCAXIS</vt:lpstr>
      <vt:lpstr>TOPDISKS</vt:lpstr>
      <vt:lpstr>WEBDIR</vt:lpstr>
      <vt:lpstr>xToD</vt:lpstr>
    </vt:vector>
  </TitlesOfParts>
  <Manager/>
  <Company>IBM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nmon Analyzer</dc:title>
  <dc:subject/>
  <dc:creator>Ron McCargar</dc:creator>
  <cp:keywords/>
  <dc:description>(C) Copyright IBM Corp. 2000, 2016 All Rights Reserved.</dc:description>
  <cp:lastModifiedBy>Ron McCargar</cp:lastModifiedBy>
  <cp:lastPrinted>2005-06-27T09:03:13Z</cp:lastPrinted>
  <dcterms:created xsi:type="dcterms:W3CDTF">2003-01-22T12:09:51Z</dcterms:created>
  <dcterms:modified xsi:type="dcterms:W3CDTF">2016-05-05T18:52:46Z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