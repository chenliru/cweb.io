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5"/>
  </bookViews>
  <sheets>
    <sheet name="Analyser" sheetId="1" r:id="rId1"/>
    <sheet name="Settings" sheetId="2" r:id="rId2"/>
    <sheet name="Release Notes" sheetId="3" r:id="rId3"/>
  </sheets>
  <functionGroups builtInGroupCount="17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ORTDEFAULT">Settings!$B$14</definedName>
    <definedName name="SortInp">Settings!$B$29</definedName>
    <definedName name="SUBDIR">Settings!$D$24</definedName>
    <definedName name="TOPDISKS">Settings!$B$12</definedName>
    <definedName name="WEBDIR">Settings!$B$25</definedName>
    <definedName name="xToD">Settings!$B$13</definedName>
  </definedNames>
  <calcPr calcId="145621" calcMode="manual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<sst xmlns="http://schemas.openxmlformats.org/spreadsheetml/2006/main" count="211" uniqueCount="168">
  <si>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</si>
  <si>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</si>
  <si>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</si>
  <si>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</si>
  <si>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</si>
  <si>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</si>
  <si>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</si>
  <si>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</si>
  <si>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</si>
  <si>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</si>
  <si>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</si>
  <si>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</si>
  <si>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</si>
  <si>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</si>
  <si>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</si>
  <si>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</si>
  <si>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</si>
  <si>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</si>
  <si>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</si>
  <si>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</si>
  <si>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</si>
  <si>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</si>
  <si>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</si>
  <si>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</si>
  <si>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</si>
  <si>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</si>
  <si>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</si>
  <si>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</si>
  <si>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</si>
  <si>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</si>
  <si>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</si>
  <si>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</si>
  <si>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</si>
  <si>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</si>
  <si>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</si>
  <si>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</si>
  <si>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</si>
  <si>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</si>
  <si>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</si>
  <si>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</si>
  <si>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</si>
  <si>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</si>
  <si>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</si>
  <si>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</si>
  <si>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</si>
  <si>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</si>
  <si>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</si>
  <si>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</si>
  <si>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</si>
  <si>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</si>
  <si>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</si>
  <si>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</si>
  <si>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</si>
  <si>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</si>
  <si>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</si>
  <si>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</si>
  <si>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</si>
  <si>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</si>
  <si>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</si>
  <si>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</si>
  <si>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</si>
  <si>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</si>
  <si>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</si>
  <si>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</si>
  <si>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</si>
  <si>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</si>
  <si>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</si>
  <si>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</si>
  <si>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</si>
  <si>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</si>
  <si>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</si>
  <si>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</si>
  <si>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</si>
  <si>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</si>
  <si>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</si>
  <si>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</si>
  <si>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</si>
  <si>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</si>
  <si>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</si>
  <si>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</si>
  <si>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</si>
  <si>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</si>
  <si>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</si>
  <si>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</si>
  <si>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</si>
  <si>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</si>
  <si>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</si>
  <si>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</si>
  <si>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</si>
  <si>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</si>
  <si>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</si>
  <si>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</si>
  <si>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</si>
  <si>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</si>
  <si>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</si>
  <si>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</si>
  <si>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</si>
  <si>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</si>
  <si>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</si>
  <si>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</si>
  <si>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</si>
  <si>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</si>
  <si>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</si>
  <si>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</si>
  <si>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</si>
  <si>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</si>
  <si>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</si>
  <si>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</si>
  <si>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</si>
  <si>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</si>
  <si>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</si>
  <si>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</si>
  <si>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</si>
  <si>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</si>
  <si>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</si>
  <si>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</si>
  <si>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</si>
  <si>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</si>
  <si>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</si>
  <si>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</si>
  <si>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</si>
  <si>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</si>
  <si>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</si>
  <si>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</si>
  <si>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</si>
  <si>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</si>
  <si>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</si>
  <si>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</si>
  <si>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</si>
  <si>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</si>
  <si>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</si>
  <si>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</si>
  <si>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</si>
  <si>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</si>
  <si>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</si>
  <si>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</si>
  <si>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</si>
  <si>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</si>
  <si>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</si>
  <si>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</si>
  <si>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</si>
  <si>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</si>
  <si>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</si>
  <si>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</si>
  <si>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</si>
  <si>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</si>
  <si>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</si>
  <si>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</si>
  <si>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</si>
  <si>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</si>
  <si>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</si>
  <si>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</si>
  <si>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</si>
  <si>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</si>
  <si>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</si>
  <si>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</si>
  <si>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</si>
  <si>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</si>
  <si>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</si>
  <si>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</si>
  <si>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</si>
  <si>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</si>
  <si>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</si>
  <si>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</si>
  <si>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</si>
  <si>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</si>
  <si>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>C:\NMON\out\w_control.txt</t>
  </si>
  <si>
    <t>C:\NMON\out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</si>
</sst>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057984"/>
        <c:axId val="180059520"/>
      </c:barChart>
      <c:catAx>
        <c:axId val="18005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059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0059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0579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106368"/>
        <c:axId val="180107904"/>
      </c:barChart>
      <c:catAx>
        <c:axId val="18010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107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0107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1063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150656"/>
        <c:axId val="180152192"/>
      </c:barChart>
      <c:catAx>
        <c:axId val="18015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15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0152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15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38464"/>
        <c:axId val="181044352"/>
      </c:barChart>
      <c:catAx>
        <c:axId val="18103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044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1044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038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74560"/>
        <c:axId val="188756352"/>
      </c:barChart>
      <c:catAx>
        <c:axId val="18107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756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756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0745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B18" sqref="B18"/>
    </sheetView>
  </sheetViews>
  <sheetFormatPr defaultRowHeight="12.75" x14ac:dyDescent="0.2"/>
  <cols>
    <col min="1" max="1" width="18.425781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4" t="s">
        <v>164</v>
      </c>
      <c r="B1" s="30">
        <v>42270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9"/>
      <c r="C12" s="36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5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">
      <c r="A15" s="2" t="s">
        <v>100</v>
      </c>
      <c r="B15" s="41" t="s">
        <v>7</v>
      </c>
      <c r="D15" t="s">
        <v>101</v>
      </c>
      <c r="H15" s="6"/>
      <c r="I15" s="6"/>
      <c r="J15" s="6"/>
      <c r="K15" s="6"/>
    </row>
    <row r="16" spans="1:11" x14ac:dyDescent="0.2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t="s">
        <v>9</v>
      </c>
      <c r="B18" s="31" t="s">
        <v>166</v>
      </c>
      <c r="D18" t="s">
        <v>10</v>
      </c>
      <c r="H18" s="6"/>
      <c r="I18" s="6"/>
      <c r="J18" s="6"/>
      <c r="K18" s="6"/>
    </row>
    <row r="20" spans="1:15" x14ac:dyDescent="0.2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">
      <c r="B25" s="28"/>
    </row>
    <row r="26" spans="1:15" x14ac:dyDescent="0.2">
      <c r="B26" s="28"/>
    </row>
    <row r="27" spans="1:15" x14ac:dyDescent="0.2">
      <c r="B27" s="28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A55" t="s">
        <v>74</v>
      </c>
      <c r="B55" s="28">
        <f>AVERAGE(B2:B53)</f>
        <v>1</v>
      </c>
    </row>
    <row r="56" spans="1:2" x14ac:dyDescent="0.2">
      <c r="A56" t="s">
        <v>75</v>
      </c>
      <c r="B56" s="28">
        <f>IF(B55=0,0,MAX(SUMPRODUCT(B2:B53,B2:B53)/SUM(B2:B53)-B55,0))</f>
        <v>0</v>
      </c>
    </row>
    <row r="57" spans="1:2" x14ac:dyDescent="0.2">
      <c r="A57" t="s">
        <v>76</v>
      </c>
      <c r="B57" s="28">
        <f>ABS(MAX(B2:B53)-B55-B56)</f>
        <v>0</v>
      </c>
    </row>
    <row r="58" spans="1:2" x14ac:dyDescent="0.2">
      <c r="B58" s="28"/>
    </row>
    <row r="59" spans="1:2" x14ac:dyDescent="0.2">
      <c r="B59" s="28"/>
    </row>
    <row r="60" spans="1:2" x14ac:dyDescent="0.2">
      <c r="B60" s="28"/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</sheetData>
  <sortState ref="A19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5" sqref="B5"/>
    </sheetView>
  </sheetViews>
  <sheetFormatPr defaultColWidth="9.7109375" defaultRowHeight="12.75" x14ac:dyDescent="0.2"/>
  <cols>
    <col min="1" max="1" width="15.140625" customWidth="1"/>
    <col min="2" max="2" width="77.5703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 t="s">
        <v>167</v>
      </c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2" t="s">
        <v>106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3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150</v>
      </c>
      <c r="B14" s="20" t="s">
        <v>5</v>
      </c>
      <c r="C14" s="16" t="s">
        <v>151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6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  <dataValidation type="list" allowBlank="1" showInputMessage="1" showErrorMessage="1" sqref="B28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6"/>
  <sheetViews>
    <sheetView workbookViewId="0">
      <selection activeCell="C6" sqref="C6"/>
    </sheetView>
  </sheetViews>
  <sheetFormatPr defaultRowHeight="12.75" x14ac:dyDescent="0.2"/>
  <cols>
    <col min="1" max="1" width="12.7109375" style="23" customWidth="1"/>
    <col min="2" max="2" width="9.5703125" customWidth="1"/>
  </cols>
  <sheetData>
    <row r="1" spans="1:5" x14ac:dyDescent="0.2">
      <c r="A1" s="25" t="s">
        <v>164</v>
      </c>
      <c r="B1" s="7">
        <v>42270</v>
      </c>
      <c r="E1" t="s">
        <v>96</v>
      </c>
    </row>
    <row r="3" spans="1:5" s="1" customFormat="1" ht="13.5" customHeight="1" x14ac:dyDescent="0.2">
      <c r="A3" s="25" t="s">
        <v>97</v>
      </c>
    </row>
    <row r="4" spans="1:5" s="1" customFormat="1" ht="13.5" customHeight="1" x14ac:dyDescent="0.2">
      <c r="A4" s="25" t="s">
        <v>164</v>
      </c>
      <c r="B4" s="7">
        <v>42270</v>
      </c>
    </row>
    <row r="5" spans="1:5" s="1" customFormat="1" x14ac:dyDescent="0.2">
      <c r="A5" s="25" t="s">
        <v>46</v>
      </c>
      <c r="B5" s="16" t="s">
        <v>165</v>
      </c>
    </row>
    <row r="6" spans="1:5" s="1" customFormat="1" ht="13.5" customHeight="1" x14ac:dyDescent="0.2">
      <c r="A6" s="25"/>
    </row>
    <row r="7" spans="1:5" s="1" customFormat="1" ht="13.5" customHeight="1" x14ac:dyDescent="0.2">
      <c r="A7" s="25" t="s">
        <v>162</v>
      </c>
      <c r="B7" s="7">
        <v>42185</v>
      </c>
    </row>
    <row r="8" spans="1:5" s="1" customFormat="1" x14ac:dyDescent="0.2">
      <c r="A8" s="25" t="s">
        <v>46</v>
      </c>
      <c r="B8" s="16" t="s">
        <v>163</v>
      </c>
    </row>
    <row r="9" spans="1:5" s="1" customFormat="1" ht="13.5" customHeight="1" x14ac:dyDescent="0.2">
      <c r="A9" s="25"/>
    </row>
    <row r="10" spans="1:5" s="1" customFormat="1" ht="13.5" customHeight="1" x14ac:dyDescent="0.2">
      <c r="A10" s="25" t="s">
        <v>160</v>
      </c>
      <c r="B10" s="7">
        <v>42171</v>
      </c>
    </row>
    <row r="11" spans="1:5" s="1" customFormat="1" x14ac:dyDescent="0.2">
      <c r="A11" s="25" t="s">
        <v>46</v>
      </c>
      <c r="B11" s="16" t="s">
        <v>161</v>
      </c>
    </row>
    <row r="12" spans="1:5" s="1" customFormat="1" ht="13.5" customHeight="1" x14ac:dyDescent="0.2">
      <c r="A12" s="25"/>
    </row>
    <row r="13" spans="1:5" s="1" customFormat="1" ht="13.5" customHeight="1" x14ac:dyDescent="0.2">
      <c r="A13" s="25" t="s">
        <v>158</v>
      </c>
      <c r="B13" s="7">
        <v>42159</v>
      </c>
    </row>
    <row r="14" spans="1:5" s="1" customFormat="1" x14ac:dyDescent="0.2">
      <c r="A14" s="25" t="s">
        <v>46</v>
      </c>
      <c r="B14" s="16" t="s">
        <v>159</v>
      </c>
    </row>
    <row r="15" spans="1:5" s="1" customFormat="1" ht="13.5" customHeight="1" x14ac:dyDescent="0.2">
      <c r="A15" s="25"/>
    </row>
    <row r="16" spans="1:5" s="1" customFormat="1" x14ac:dyDescent="0.2">
      <c r="A16" s="25" t="s">
        <v>156</v>
      </c>
      <c r="B16" s="7">
        <v>42143</v>
      </c>
    </row>
    <row r="17" spans="1:2" s="1" customFormat="1" x14ac:dyDescent="0.2">
      <c r="A17" s="25" t="s">
        <v>46</v>
      </c>
      <c r="B17" s="16" t="s">
        <v>157</v>
      </c>
    </row>
    <row r="18" spans="1:2" s="1" customFormat="1" x14ac:dyDescent="0.2">
      <c r="A18" s="25"/>
      <c r="B18" s="16"/>
    </row>
    <row r="19" spans="1:2" s="1" customFormat="1" x14ac:dyDescent="0.2">
      <c r="A19" s="25" t="s">
        <v>154</v>
      </c>
      <c r="B19" s="7">
        <v>42125</v>
      </c>
    </row>
    <row r="20" spans="1:2" s="1" customFormat="1" x14ac:dyDescent="0.2">
      <c r="A20" s="25" t="s">
        <v>46</v>
      </c>
      <c r="B20" s="16" t="s">
        <v>155</v>
      </c>
    </row>
    <row r="21" spans="1:2" s="1" customFormat="1" x14ac:dyDescent="0.2">
      <c r="A21" s="25"/>
    </row>
    <row r="22" spans="1:2" s="1" customFormat="1" x14ac:dyDescent="0.2">
      <c r="A22" s="25" t="s">
        <v>149</v>
      </c>
      <c r="B22" s="7">
        <v>42121</v>
      </c>
    </row>
    <row r="23" spans="1:2" s="1" customFormat="1" x14ac:dyDescent="0.2">
      <c r="A23" s="25" t="s">
        <v>46</v>
      </c>
      <c r="B23" s="16" t="s">
        <v>152</v>
      </c>
    </row>
    <row r="24" spans="1:2" s="1" customFormat="1" x14ac:dyDescent="0.2">
      <c r="A24" s="25" t="s">
        <v>47</v>
      </c>
      <c r="B24" s="46" t="s">
        <v>153</v>
      </c>
    </row>
    <row r="25" spans="1:2" s="1" customFormat="1" x14ac:dyDescent="0.2">
      <c r="A25" s="25"/>
      <c r="B25" s="46"/>
    </row>
    <row r="26" spans="1:2" s="1" customFormat="1" x14ac:dyDescent="0.2">
      <c r="A26" s="25" t="s">
        <v>147</v>
      </c>
      <c r="B26" s="7">
        <v>42080</v>
      </c>
    </row>
    <row r="27" spans="1:2" s="1" customFormat="1" x14ac:dyDescent="0.2">
      <c r="A27" s="25" t="s">
        <v>46</v>
      </c>
      <c r="B27" s="46" t="s">
        <v>148</v>
      </c>
    </row>
    <row r="28" spans="1:2" s="1" customFormat="1" x14ac:dyDescent="0.2">
      <c r="A28" s="25"/>
      <c r="B28" s="46"/>
    </row>
    <row r="29" spans="1:2" s="1" customFormat="1" x14ac:dyDescent="0.2">
      <c r="A29" s="25" t="s">
        <v>145</v>
      </c>
      <c r="B29" s="7">
        <v>42074</v>
      </c>
    </row>
    <row r="30" spans="1:2" s="1" customFormat="1" x14ac:dyDescent="0.2">
      <c r="A30" s="25" t="s">
        <v>46</v>
      </c>
      <c r="B30" s="46" t="s">
        <v>146</v>
      </c>
    </row>
    <row r="31" spans="1:2" s="1" customFormat="1" x14ac:dyDescent="0.2">
      <c r="A31" s="25"/>
      <c r="B31" s="46"/>
    </row>
    <row r="32" spans="1:2" s="1" customFormat="1" x14ac:dyDescent="0.2">
      <c r="A32" s="25" t="s">
        <v>141</v>
      </c>
      <c r="B32" s="7">
        <v>42053</v>
      </c>
    </row>
    <row r="33" spans="1:2" s="1" customFormat="1" x14ac:dyDescent="0.2">
      <c r="A33" s="25" t="s">
        <v>46</v>
      </c>
      <c r="B33" s="46" t="s">
        <v>144</v>
      </c>
    </row>
    <row r="34" spans="1:2" s="1" customFormat="1" x14ac:dyDescent="0.2">
      <c r="A34" s="25" t="s">
        <v>47</v>
      </c>
      <c r="B34" s="46" t="s">
        <v>142</v>
      </c>
    </row>
    <row r="35" spans="1:2" s="1" customFormat="1" x14ac:dyDescent="0.2">
      <c r="A35" s="25" t="s">
        <v>48</v>
      </c>
      <c r="B35" s="46" t="s">
        <v>143</v>
      </c>
    </row>
    <row r="36" spans="1:2" s="1" customFormat="1" x14ac:dyDescent="0.2">
      <c r="A36" s="25"/>
      <c r="B36" s="46"/>
    </row>
    <row r="37" spans="1:2" s="1" customFormat="1" x14ac:dyDescent="0.2">
      <c r="A37" s="25" t="s">
        <v>126</v>
      </c>
      <c r="B37" s="7">
        <v>42052</v>
      </c>
    </row>
    <row r="38" spans="1:2" s="1" customFormat="1" x14ac:dyDescent="0.2">
      <c r="A38" s="25" t="s">
        <v>46</v>
      </c>
      <c r="B38" s="16" t="s">
        <v>127</v>
      </c>
    </row>
    <row r="39" spans="1:2" s="1" customFormat="1" x14ac:dyDescent="0.2">
      <c r="A39" s="25" t="s">
        <v>128</v>
      </c>
      <c r="B39" s="16" t="s">
        <v>134</v>
      </c>
    </row>
    <row r="40" spans="1:2" s="1" customFormat="1" x14ac:dyDescent="0.2">
      <c r="A40" s="25" t="s">
        <v>131</v>
      </c>
      <c r="B40" s="16" t="s">
        <v>130</v>
      </c>
    </row>
    <row r="41" spans="1:2" s="1" customFormat="1" x14ac:dyDescent="0.2">
      <c r="A41" s="25" t="s">
        <v>49</v>
      </c>
      <c r="B41" s="16" t="s">
        <v>132</v>
      </c>
    </row>
    <row r="42" spans="1:2" s="1" customFormat="1" x14ac:dyDescent="0.2">
      <c r="A42" s="25" t="s">
        <v>77</v>
      </c>
      <c r="B42" s="16" t="s">
        <v>133</v>
      </c>
    </row>
    <row r="43" spans="1:2" s="1" customFormat="1" x14ac:dyDescent="0.2">
      <c r="A43" s="25" t="s">
        <v>117</v>
      </c>
      <c r="B43" s="16" t="s">
        <v>136</v>
      </c>
    </row>
    <row r="44" spans="1:2" s="1" customFormat="1" x14ac:dyDescent="0.2">
      <c r="A44" s="25" t="s">
        <v>87</v>
      </c>
      <c r="B44" s="16" t="s">
        <v>138</v>
      </c>
    </row>
    <row r="45" spans="1:2" s="1" customFormat="1" x14ac:dyDescent="0.2">
      <c r="A45" s="25" t="s">
        <v>89</v>
      </c>
      <c r="B45" s="16" t="s">
        <v>139</v>
      </c>
    </row>
    <row r="46" spans="1:2" s="1" customFormat="1" x14ac:dyDescent="0.2">
      <c r="A46" s="25" t="s">
        <v>94</v>
      </c>
      <c r="B46" s="16" t="s">
        <v>140</v>
      </c>
    </row>
    <row r="47" spans="1:2" s="1" customFormat="1" x14ac:dyDescent="0.2">
      <c r="A47" s="25"/>
      <c r="B47" s="16"/>
    </row>
    <row r="48" spans="1:2" s="1" customFormat="1" x14ac:dyDescent="0.2">
      <c r="A48" s="25" t="s">
        <v>124</v>
      </c>
      <c r="B48" s="7">
        <v>42049</v>
      </c>
    </row>
    <row r="49" spans="1:7" s="1" customFormat="1" x14ac:dyDescent="0.2">
      <c r="A49" s="25" t="s">
        <v>46</v>
      </c>
      <c r="B49" s="16" t="s">
        <v>125</v>
      </c>
    </row>
    <row r="50" spans="1:7" s="1" customFormat="1" x14ac:dyDescent="0.2">
      <c r="A50" s="25"/>
    </row>
    <row r="51" spans="1:7" s="1" customFormat="1" x14ac:dyDescent="0.2">
      <c r="A51" s="25" t="s">
        <v>121</v>
      </c>
      <c r="B51" s="7">
        <v>42048</v>
      </c>
    </row>
    <row r="52" spans="1:7" s="1" customFormat="1" x14ac:dyDescent="0.2">
      <c r="A52" s="25" t="s">
        <v>46</v>
      </c>
      <c r="B52" s="16" t="s">
        <v>122</v>
      </c>
    </row>
    <row r="53" spans="1:7" s="1" customFormat="1" x14ac:dyDescent="0.2">
      <c r="A53" s="25" t="s">
        <v>47</v>
      </c>
      <c r="B53" s="16" t="s">
        <v>123</v>
      </c>
    </row>
    <row r="54" spans="1:7" s="1" customFormat="1" x14ac:dyDescent="0.2">
      <c r="A54" s="25"/>
    </row>
    <row r="55" spans="1:7" s="1" customFormat="1" x14ac:dyDescent="0.2">
      <c r="A55" s="25" t="s">
        <v>112</v>
      </c>
      <c r="B55" s="7">
        <v>42048</v>
      </c>
    </row>
    <row r="56" spans="1:7" x14ac:dyDescent="0.2">
      <c r="A56" s="40" t="s">
        <v>46</v>
      </c>
      <c r="B56" s="45" t="s">
        <v>113</v>
      </c>
      <c r="C56" s="2"/>
      <c r="D56" s="2"/>
      <c r="E56" s="2"/>
      <c r="F56" s="2"/>
      <c r="G56" s="2"/>
    </row>
    <row r="57" spans="1:7" x14ac:dyDescent="0.2">
      <c r="A57" s="45" t="s">
        <v>47</v>
      </c>
      <c r="B57" s="45" t="s">
        <v>137</v>
      </c>
      <c r="C57" s="2"/>
      <c r="D57" s="2"/>
      <c r="E57" s="2"/>
      <c r="F57" s="2"/>
      <c r="G57" s="2"/>
    </row>
    <row r="58" spans="1:7" x14ac:dyDescent="0.2">
      <c r="A58" s="45" t="s">
        <v>48</v>
      </c>
      <c r="B58" s="45" t="s">
        <v>116</v>
      </c>
      <c r="C58" s="2"/>
      <c r="D58" s="2"/>
      <c r="E58" s="2"/>
      <c r="F58" s="2"/>
      <c r="G58" s="2"/>
    </row>
    <row r="59" spans="1:7" x14ac:dyDescent="0.2">
      <c r="A59" s="45" t="s">
        <v>49</v>
      </c>
      <c r="B59" s="45" t="s">
        <v>120</v>
      </c>
      <c r="C59" s="2"/>
      <c r="D59" s="2"/>
      <c r="E59" s="2"/>
      <c r="F59" s="2"/>
      <c r="G59" s="2"/>
    </row>
    <row r="60" spans="1:7" x14ac:dyDescent="0.2">
      <c r="A60" s="45" t="s">
        <v>115</v>
      </c>
      <c r="B60" s="45" t="s">
        <v>114</v>
      </c>
      <c r="C60" s="2"/>
      <c r="D60" s="2"/>
      <c r="E60" s="2"/>
      <c r="F60" s="2"/>
      <c r="G60" s="2"/>
    </row>
    <row r="61" spans="1:7" x14ac:dyDescent="0.2">
      <c r="A61" s="45" t="s">
        <v>117</v>
      </c>
      <c r="B61" s="45" t="s">
        <v>118</v>
      </c>
      <c r="C61" s="2"/>
      <c r="D61" s="2"/>
      <c r="E61" s="2"/>
      <c r="F61" s="2"/>
      <c r="G61" s="2"/>
    </row>
    <row r="62" spans="1:7" x14ac:dyDescent="0.2">
      <c r="A62" s="45" t="s">
        <v>87</v>
      </c>
      <c r="B62" s="45" t="s">
        <v>119</v>
      </c>
      <c r="C62" s="2"/>
      <c r="D62" s="2"/>
      <c r="E62" s="2"/>
      <c r="F62" s="2"/>
      <c r="G62" s="2"/>
    </row>
    <row r="63" spans="1:7" x14ac:dyDescent="0.2">
      <c r="A63" s="45"/>
      <c r="B63" s="45"/>
      <c r="C63" s="2"/>
      <c r="D63" s="2"/>
      <c r="E63" s="2"/>
      <c r="F63" s="2"/>
      <c r="G63" s="2"/>
    </row>
    <row r="64" spans="1:7" s="1" customFormat="1" x14ac:dyDescent="0.2">
      <c r="A64" s="25" t="s">
        <v>105</v>
      </c>
      <c r="B64" s="7">
        <v>42046</v>
      </c>
    </row>
    <row r="65" spans="1:7" x14ac:dyDescent="0.2">
      <c r="A65" s="40" t="s">
        <v>46</v>
      </c>
      <c r="B65" s="40" t="s">
        <v>107</v>
      </c>
      <c r="C65" s="2"/>
      <c r="D65" s="2"/>
      <c r="E65" s="2"/>
      <c r="F65" s="2"/>
      <c r="G65" s="2"/>
    </row>
    <row r="66" spans="1:7" x14ac:dyDescent="0.2">
      <c r="A66" s="23" t="s">
        <v>47</v>
      </c>
      <c r="B66" s="40" t="s">
        <v>108</v>
      </c>
      <c r="C66" s="2"/>
      <c r="D66" s="2"/>
      <c r="E66" s="2"/>
      <c r="F66" s="2"/>
      <c r="G66" s="2"/>
    </row>
    <row r="67" spans="1:7" x14ac:dyDescent="0.2">
      <c r="B67" s="23"/>
      <c r="C67" s="2"/>
      <c r="D67" s="2"/>
      <c r="E67" s="2"/>
      <c r="F67" s="2"/>
      <c r="G67" s="2"/>
    </row>
    <row r="68" spans="1:7" s="1" customFormat="1" x14ac:dyDescent="0.2">
      <c r="A68" s="25" t="s">
        <v>103</v>
      </c>
      <c r="B68" s="7">
        <v>42039</v>
      </c>
    </row>
    <row r="69" spans="1:7" x14ac:dyDescent="0.2">
      <c r="A69" s="23" t="s">
        <v>46</v>
      </c>
      <c r="B69" s="40" t="s">
        <v>104</v>
      </c>
      <c r="C69" s="2"/>
      <c r="D69" s="2"/>
      <c r="E69" s="2"/>
      <c r="F69" s="2"/>
      <c r="G69" s="2"/>
    </row>
    <row r="70" spans="1:7" x14ac:dyDescent="0.2">
      <c r="B70" s="40"/>
      <c r="C70" s="2"/>
      <c r="D70" s="2"/>
      <c r="E70" s="2"/>
      <c r="F70" s="2"/>
      <c r="G70" s="2"/>
    </row>
    <row r="71" spans="1:7" s="1" customFormat="1" x14ac:dyDescent="0.2">
      <c r="A71" s="25" t="s">
        <v>99</v>
      </c>
    </row>
    <row r="72" spans="1:7" x14ac:dyDescent="0.2">
      <c r="A72" s="23" t="s">
        <v>46</v>
      </c>
      <c r="B72" s="40" t="s">
        <v>102</v>
      </c>
      <c r="C72" s="2"/>
      <c r="D72" s="2"/>
      <c r="E72" s="2"/>
      <c r="F72" s="2"/>
      <c r="G72" s="2"/>
    </row>
    <row r="73" spans="1:7" x14ac:dyDescent="0.2">
      <c r="B73" s="23"/>
      <c r="C73" s="2"/>
      <c r="D73" s="2"/>
      <c r="E73" s="2"/>
      <c r="F73" s="2"/>
      <c r="G73" s="2"/>
    </row>
    <row r="74" spans="1:7" x14ac:dyDescent="0.2">
      <c r="A74" s="25" t="s">
        <v>98</v>
      </c>
      <c r="B74" s="24"/>
      <c r="C74" s="2"/>
      <c r="D74" s="2"/>
      <c r="E74" s="2"/>
      <c r="F74" s="2"/>
      <c r="G74" s="2"/>
    </row>
    <row r="75" spans="1:7" x14ac:dyDescent="0.2">
      <c r="A75" s="23" t="s">
        <v>46</v>
      </c>
      <c r="B75" s="23" t="s">
        <v>78</v>
      </c>
      <c r="C75" s="2"/>
      <c r="D75" s="2"/>
      <c r="E75" s="2"/>
      <c r="F75" s="2"/>
      <c r="G75" s="2"/>
    </row>
    <row r="76" spans="1:7" x14ac:dyDescent="0.2">
      <c r="A76" s="23" t="s">
        <v>47</v>
      </c>
      <c r="B76" s="23" t="s">
        <v>79</v>
      </c>
      <c r="C76" s="2"/>
      <c r="D76" s="2"/>
      <c r="E76" s="2"/>
      <c r="F76" s="2"/>
      <c r="G76" s="2"/>
    </row>
    <row r="77" spans="1:7" x14ac:dyDescent="0.2">
      <c r="A77" s="23" t="s">
        <v>48</v>
      </c>
      <c r="B77" t="s">
        <v>92</v>
      </c>
      <c r="C77" s="2"/>
      <c r="D77" s="2"/>
      <c r="E77" s="2"/>
      <c r="F77" s="2"/>
      <c r="G77" s="2"/>
    </row>
    <row r="78" spans="1:7" x14ac:dyDescent="0.2">
      <c r="A78" s="23" t="s">
        <v>49</v>
      </c>
      <c r="B78" s="23" t="s">
        <v>86</v>
      </c>
    </row>
    <row r="79" spans="1:7" x14ac:dyDescent="0.2">
      <c r="A79" s="23" t="s">
        <v>77</v>
      </c>
      <c r="B79" s="23" t="s">
        <v>83</v>
      </c>
    </row>
    <row r="80" spans="1:7" x14ac:dyDescent="0.2">
      <c r="A80" s="23" t="s">
        <v>82</v>
      </c>
      <c r="B80" s="23" t="s">
        <v>81</v>
      </c>
    </row>
    <row r="81" spans="1:2" x14ac:dyDescent="0.2">
      <c r="A81" s="23" t="s">
        <v>87</v>
      </c>
      <c r="B81" s="23" t="s">
        <v>88</v>
      </c>
    </row>
    <row r="82" spans="1:2" x14ac:dyDescent="0.2">
      <c r="A82" s="23" t="s">
        <v>89</v>
      </c>
      <c r="B82" s="23" t="s">
        <v>80</v>
      </c>
    </row>
    <row r="83" spans="1:2" x14ac:dyDescent="0.2">
      <c r="A83" s="23" t="s">
        <v>94</v>
      </c>
      <c r="B83" s="23" t="s">
        <v>95</v>
      </c>
    </row>
    <row r="84" spans="1:2" x14ac:dyDescent="0.2">
      <c r="B84" s="23"/>
    </row>
    <row r="85" spans="1:2" x14ac:dyDescent="0.2">
      <c r="B85" s="23"/>
    </row>
    <row r="86" spans="1:2" x14ac:dyDescent="0.2">
      <c r="A86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SORTDEFAULT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lchen</cp:lastModifiedBy>
  <cp:lastPrinted>2005-06-27T09:03:13Z</cp:lastPrinted>
  <dcterms:created xsi:type="dcterms:W3CDTF">2003-01-22T12:09:51Z</dcterms:created>
  <dcterms:modified xsi:type="dcterms:W3CDTF">2016-10-13T19:47:43Z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